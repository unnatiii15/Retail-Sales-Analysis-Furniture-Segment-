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nati\Downloads\retail sales\"/>
    </mc:Choice>
  </mc:AlternateContent>
  <xr:revisionPtr revIDLastSave="0" documentId="8_{883A9EFF-AD9B-4FBA-9963-2A83AE6A7E2A}" xr6:coauthVersionLast="47" xr6:coauthVersionMax="47" xr10:uidLastSave="{00000000-0000-0000-0000-000000000000}"/>
  <bookViews>
    <workbookView xWindow="-110" yWindow="-110" windowWidth="19420" windowHeight="11500" activeTab="3" xr2:uid="{D04923BA-3EC0-4732-A02D-985C233FD454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J2" i="1"/>
  <c r="J3" i="1"/>
  <c r="J4" i="1"/>
  <c r="J5" i="1"/>
  <c r="J6" i="1"/>
  <c r="J7" i="1"/>
  <c r="J8" i="1"/>
  <c r="J9" i="1"/>
  <c r="J10" i="1"/>
  <c r="I2" i="1"/>
  <c r="I3" i="1"/>
  <c r="I4" i="1"/>
  <c r="I5" i="1"/>
  <c r="I6" i="1"/>
  <c r="I7" i="1"/>
  <c r="I8" i="1"/>
  <c r="I9" i="1"/>
  <c r="I10" i="1"/>
  <c r="H2" i="1"/>
  <c r="H3" i="1"/>
  <c r="H4" i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<sst xmlns="http://schemas.openxmlformats.org/spreadsheetml/2006/main" count="49" uniqueCount="22">
  <si>
    <t>Order_ID</t>
  </si>
  <si>
    <t>Region</t>
  </si>
  <si>
    <t>Product</t>
  </si>
  <si>
    <t>Sales</t>
  </si>
  <si>
    <t>Quantity</t>
  </si>
  <si>
    <t>Discount</t>
  </si>
  <si>
    <t>Date</t>
  </si>
  <si>
    <t>West</t>
  </si>
  <si>
    <t>East</t>
  </si>
  <si>
    <t>North</t>
  </si>
  <si>
    <t>South</t>
  </si>
  <si>
    <t>Phone</t>
  </si>
  <si>
    <t>Laptop</t>
  </si>
  <si>
    <t>Tablet</t>
  </si>
  <si>
    <t>Row Labels</t>
  </si>
  <si>
    <t>Grand Total</t>
  </si>
  <si>
    <t>Sum of Sales</t>
  </si>
  <si>
    <t>Final_Sales</t>
  </si>
  <si>
    <t>Sum of Quantity</t>
  </si>
  <si>
    <t>Total_Sales</t>
  </si>
  <si>
    <t>Total_Quantity</t>
  </si>
  <si>
    <t>Average_Discount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</si>
</sst>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2150</c:v>
                </c:pt>
                <c:pt idx="1">
                  <c:v>350</c:v>
                </c:pt>
                <c:pt idx="2">
                  <c:v>2100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5-4BE3-BEE1-4FE61BB07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57391"/>
        <c:axId val="212657871"/>
      </c:barChart>
      <c:catAx>
        <c:axId val="21265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7871"/>
        <c:crosses val="autoZero"/>
        <c:auto val="1"/>
        <c:lblAlgn val="ctr"/>
        <c:lblOffset val="100"/>
        <c:noMultiLvlLbl val="0"/>
      </c:catAx>
      <c:valAx>
        <c:axId val="2126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177800</xdr:rowOff>
    </xdr:from>
    <xdr:to>
      <xdr:col>10</xdr:col>
      <xdr:colOff>295275</xdr:colOff>
      <xdr:row>15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CD1CA-D9E1-8413-494A-AFC70DC52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nati" refreshedDate="46114.563719444443" createdVersion="8" refreshedVersion="8" minRefreshableVersion="3" recordCount="9" xr:uid="{413C1745-328A-4535-94DC-F7AF214EB8E1}">
  <cacheSource type="worksheet">
    <worksheetSource name="Table1"/>
  </cacheSource>
  <cacheFields count="7">
    <cacheField name="Order_ID" numFmtId="0">
      <sharedItems containsSemiMixedTypes="0" containsString="0" containsNumber="1" containsInteger="1" minValue="1" maxValue="9"/>
    </cacheField>
    <cacheField name="Region" numFmtId="0">
      <sharedItems count="4">
        <s v="West"/>
        <s v="East"/>
        <s v="South"/>
        <s v="North"/>
      </sharedItems>
    </cacheField>
    <cacheField name="Product" numFmtId="0">
      <sharedItems count="3">
        <s v="Phone"/>
        <s v="Laptop"/>
        <s v="Tablet"/>
      </sharedItems>
    </cacheField>
    <cacheField name="Sales" numFmtId="0">
      <sharedItems containsSemiMixedTypes="0" containsString="0" containsNumber="1" containsInteger="1" minValue="300" maxValue="1500"/>
    </cacheField>
    <cacheField name="Quantity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.05" maxValue="0.25"/>
    </cacheField>
    <cacheField name="Date" numFmtId="14">
      <sharedItems containsSemiMixedTypes="0" containsNonDate="0" containsDate="1" containsString="0" minDate="2024-01-01T00:00:00" maxDate="2024-01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x v="0"/>
    <n v="500"/>
    <n v="2"/>
    <n v="0.1"/>
    <d v="2024-01-01T00:00:00"/>
  </r>
  <r>
    <n v="2"/>
    <x v="1"/>
    <x v="1"/>
    <n v="1200"/>
    <n v="1"/>
    <n v="0.05"/>
    <d v="2024-01-03T00:00:00"/>
  </r>
  <r>
    <n v="3"/>
    <x v="0"/>
    <x v="2"/>
    <n v="300"/>
    <n v="3"/>
    <n v="0.2"/>
    <d v="2024-01-05T00:00:00"/>
  </r>
  <r>
    <n v="4"/>
    <x v="2"/>
    <x v="1"/>
    <n v="1500"/>
    <n v="1"/>
    <n v="0.1"/>
    <d v="2024-01-09T00:00:00"/>
  </r>
  <r>
    <n v="5"/>
    <x v="1"/>
    <x v="2"/>
    <n v="400"/>
    <n v="2"/>
    <n v="0.25"/>
    <d v="2024-01-11T00:00:00"/>
  </r>
  <r>
    <n v="6"/>
    <x v="0"/>
    <x v="1"/>
    <n v="1300"/>
    <n v="1"/>
    <n v="0.05"/>
    <d v="2024-01-13T00:00:00"/>
  </r>
  <r>
    <n v="7"/>
    <x v="3"/>
    <x v="2"/>
    <n v="350"/>
    <n v="2"/>
    <n v="0.2"/>
    <d v="2024-01-15T00:00:00"/>
  </r>
  <r>
    <n v="8"/>
    <x v="2"/>
    <x v="0"/>
    <n v="600"/>
    <n v="3"/>
    <n v="0.1"/>
    <d v="2024-01-17T00:00:00"/>
  </r>
  <r>
    <n v="9"/>
    <x v="1"/>
    <x v="0"/>
    <n v="550"/>
    <n v="2"/>
    <n v="0.15"/>
    <d v="2024-01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5A0A6-78A4-4019-865D-BDFA3BB4DA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7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440FF-E02A-4ADA-BFE8-5F383A5BBB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17903-4B10-41EF-A691-01416C074B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numFmtId="1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920EF-41C1-4736-9225-06AB3A0BB8A3}" name="Table1" displayName="Table1" ref="A1:K10" totalsRowShown="0" headerRowDxfId="5">
  <autoFilter ref="A1:K10" xr:uid="{FB5920EF-41C1-4736-9225-06AB3A0BB8A3}"/>
  <tableColumns count="11">
    <tableColumn id="1" xr3:uid="{2E968E21-8535-48C8-BA4F-1539A963883F}" name="Order_ID"/>
    <tableColumn id="2" xr3:uid="{8D693180-5847-4ADF-9FCB-062E9C9C455B}" name="Region"/>
    <tableColumn id="3" xr3:uid="{7AFC02FD-396B-49F7-AB80-CF9ADF675402}" name="Product"/>
    <tableColumn id="4" xr3:uid="{74706686-C4C7-469B-9734-5778F321AD05}" name="Sales"/>
    <tableColumn id="5" xr3:uid="{BE6B01E8-13A0-478A-A137-6AD1FA8BC3F7}" name="Quantity"/>
    <tableColumn id="6" xr3:uid="{D0B0E08C-5874-4C09-AD0C-CE3AE3B6ED40}" name="Discount"/>
    <tableColumn id="7" xr3:uid="{C525CD5E-8693-4923-8499-C933C0C5AC03}" name="Date" dataDxfId="4"/>
    <tableColumn id="8" xr3:uid="{578D91D8-E9E3-443A-B22C-D5CF652DEA8D}" name="Final_Sales" dataDxfId="3">
      <calculatedColumnFormula>Table1[[#This Row],[Sales]]*(1-Table1[[#This Row],[Discount]])</calculatedColumnFormula>
    </tableColumn>
    <tableColumn id="9" xr3:uid="{EC337075-38F3-4FA9-9E98-C9BCAF3D6FC7}" name="Total_Sales" dataDxfId="2">
      <calculatedColumnFormula>SUM(Table1[[#This Row],[Sales]])</calculatedColumnFormula>
    </tableColumn>
    <tableColumn id="10" xr3:uid="{0763ED10-781E-4434-8E25-3F55EC888F52}" name="Total_Quantity" dataDxfId="1">
      <calculatedColumnFormula>SUM(Table1[[#This Row],[Quantity]])</calculatedColumnFormula>
    </tableColumn>
    <tableColumn id="11" xr3:uid="{3D7B039B-478C-4C4B-AD84-F41D20D25497}" name="Average_Discount" dataDxfId="0">
      <calculatedColumnFormula>AVERAGE(Table1[[#This Row],[Discount]])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94EC-0B27-4A97-A837-F00D4C2D0844}">
  <dimension ref="A1:B6"/>
  <sheetViews>
    <sheetView workbookViewId="0">
      <selection activeCell="M9" sqref="M9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1" spans="1:2" x14ac:dyDescent="0.35">
      <c r="A1" s="3" t="s">
        <v>14</v>
      </c>
      <c r="B1" t="s">
        <v>16</v>
      </c>
    </row>
    <row r="2" spans="1:2" x14ac:dyDescent="0.35">
      <c r="A2" s="4" t="s">
        <v>8</v>
      </c>
      <c r="B2">
        <v>2150</v>
      </c>
    </row>
    <row r="3" spans="1:2" x14ac:dyDescent="0.35">
      <c r="A3" s="4" t="s">
        <v>9</v>
      </c>
      <c r="B3">
        <v>350</v>
      </c>
    </row>
    <row r="4" spans="1:2" x14ac:dyDescent="0.35">
      <c r="A4" s="4" t="s">
        <v>10</v>
      </c>
      <c r="B4">
        <v>2100</v>
      </c>
    </row>
    <row r="5" spans="1:2" x14ac:dyDescent="0.35">
      <c r="A5" s="4" t="s">
        <v>7</v>
      </c>
      <c r="B5">
        <v>2100</v>
      </c>
    </row>
    <row r="6" spans="1:2" x14ac:dyDescent="0.35">
      <c r="A6" s="4" t="s">
        <v>15</v>
      </c>
      <c r="B6">
        <v>6700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42F-7E74-4BCC-9946-B6E562A6979C}">
  <dimension ref="A1:B5"/>
  <sheetViews>
    <sheetView workbookViewId="0">
      <selection activeCell="B10" sqref="B10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1" spans="1:2" x14ac:dyDescent="0.35">
      <c r="A1" s="3" t="s">
        <v>14</v>
      </c>
      <c r="B1" t="s">
        <v>16</v>
      </c>
    </row>
    <row r="2" spans="1:2" x14ac:dyDescent="0.35">
      <c r="A2" s="4" t="s">
        <v>12</v>
      </c>
      <c r="B2">
        <v>4000</v>
      </c>
    </row>
    <row r="3" spans="1:2" x14ac:dyDescent="0.35">
      <c r="A3" s="4" t="s">
        <v>11</v>
      </c>
      <c r="B3">
        <v>1650</v>
      </c>
    </row>
    <row r="4" spans="1:2" x14ac:dyDescent="0.35">
      <c r="A4" s="4" t="s">
        <v>13</v>
      </c>
      <c r="B4">
        <v>1050</v>
      </c>
    </row>
    <row r="5" spans="1:2" x14ac:dyDescent="0.35">
      <c r="A5" s="4" t="s">
        <v>15</v>
      </c>
      <c r="B5">
        <v>6700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F17F-BCED-4B90-940C-C3BD78CEFF04}">
  <dimension ref="A3:B8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14.26953125" bestFit="1" customWidth="1"/>
  </cols>
  <sheetData>
    <row r="3" spans="1:2" x14ac:dyDescent="0.35">
      <c r="A3" s="3" t="s">
        <v>14</v>
      </c>
      <c r="B3" t="s">
        <v>18</v>
      </c>
    </row>
    <row r="4" spans="1:2" x14ac:dyDescent="0.35">
      <c r="A4" s="4" t="s">
        <v>8</v>
      </c>
      <c r="B4">
        <v>5</v>
      </c>
    </row>
    <row r="5" spans="1:2" x14ac:dyDescent="0.35">
      <c r="A5" s="4" t="s">
        <v>9</v>
      </c>
      <c r="B5">
        <v>2</v>
      </c>
    </row>
    <row r="6" spans="1:2" x14ac:dyDescent="0.35">
      <c r="A6" s="4" t="s">
        <v>10</v>
      </c>
      <c r="B6">
        <v>4</v>
      </c>
    </row>
    <row r="7" spans="1:2" x14ac:dyDescent="0.35">
      <c r="A7" s="4" t="s">
        <v>7</v>
      </c>
      <c r="B7">
        <v>6</v>
      </c>
    </row>
    <row r="8" spans="1:2" x14ac:dyDescent="0.35">
      <c r="A8" s="4" t="s">
        <v>15</v>
      </c>
      <c r="B8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22C1-5962-4861-B9AF-4622D4A1D926}">
  <dimension ref="A1:K10"/>
  <sheetViews>
    <sheetView tabSelected="1" workbookViewId="0">
      <selection activeCell="H3" sqref="H3"/>
    </sheetView>
  </sheetViews>
  <sheetFormatPr defaultRowHeight="14.5" x14ac:dyDescent="0.35"/>
  <cols>
    <col min="1" max="1" width="10.08984375" customWidth="1"/>
    <col min="3" max="3" width="9.36328125" customWidth="1"/>
    <col min="5" max="5" width="10" customWidth="1"/>
    <col min="6" max="6" width="10.36328125" customWidth="1"/>
    <col min="7" max="7" width="10.08984375" bestFit="1" customWidth="1"/>
    <col min="8" max="8" width="12.6328125" bestFit="1" customWidth="1"/>
    <col min="9" max="9" width="12.54296875" bestFit="1" customWidth="1"/>
    <col min="10" max="10" width="15.26953125" bestFit="1" customWidth="1"/>
    <col min="11" max="11" width="18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19</v>
      </c>
      <c r="J1" s="1" t="s">
        <v>20</v>
      </c>
      <c r="K1" s="1" t="s">
        <v>21</v>
      </c>
    </row>
    <row r="2" spans="1:11" x14ac:dyDescent="0.35">
      <c r="A2">
        <v>1</v>
      </c>
      <c r="B2" t="s">
        <v>7</v>
      </c>
      <c r="C2" t="s">
        <v>11</v>
      </c>
      <c r="D2">
        <v>500</v>
      </c>
      <c r="E2">
        <v>2</v>
      </c>
      <c r="F2">
        <v>0.1</v>
      </c>
      <c r="G2" s="2">
        <v>45292</v>
      </c>
      <c r="H2">
        <f>Table1[[#This Row],[Sales]]*(1-Table1[[#This Row],[Discount]])</f>
        <v>450</v>
      </c>
      <c r="I2">
        <f>SUM(Table1[[#This Row],[Sales]])</f>
        <v>500</v>
      </c>
      <c r="J2">
        <f>SUM(Table1[[#This Row],[Quantity]])</f>
        <v>2</v>
      </c>
      <c r="K2">
        <f>AVERAGE(Table1[[#This Row],[Discount]])</f>
        <v>0.1</v>
      </c>
    </row>
    <row r="3" spans="1:11" x14ac:dyDescent="0.35">
      <c r="A3">
        <v>2</v>
      </c>
      <c r="B3" t="s">
        <v>8</v>
      </c>
      <c r="C3" t="s">
        <v>12</v>
      </c>
      <c r="D3">
        <v>1200</v>
      </c>
      <c r="E3">
        <v>1</v>
      </c>
      <c r="F3">
        <v>0.05</v>
      </c>
      <c r="G3" s="2">
        <v>45294</v>
      </c>
      <c r="H3">
        <f>Table1[[#This Row],[Sales]]*(1-Table1[[#This Row],[Discount]])</f>
        <v>1140</v>
      </c>
      <c r="I3">
        <f>SUM(Table1[[#This Row],[Sales]])</f>
        <v>1200</v>
      </c>
      <c r="J3">
        <f>SUM(Table1[[#This Row],[Quantity]])</f>
        <v>1</v>
      </c>
      <c r="K3">
        <f>AVERAGE(Table1[[#This Row],[Discount]])</f>
        <v>0.05</v>
      </c>
    </row>
    <row r="4" spans="1:11" x14ac:dyDescent="0.35">
      <c r="A4">
        <v>3</v>
      </c>
      <c r="B4" t="s">
        <v>7</v>
      </c>
      <c r="C4" t="s">
        <v>13</v>
      </c>
      <c r="D4">
        <v>300</v>
      </c>
      <c r="E4">
        <v>3</v>
      </c>
      <c r="F4">
        <v>0.2</v>
      </c>
      <c r="G4" s="2">
        <v>45296</v>
      </c>
      <c r="H4">
        <f>Table1[[#This Row],[Sales]]*(1-Table1[[#This Row],[Discount]])</f>
        <v>240</v>
      </c>
      <c r="I4">
        <f>SUM(Table1[[#This Row],[Sales]])</f>
        <v>300</v>
      </c>
      <c r="J4">
        <f>SUM(Table1[[#This Row],[Quantity]])</f>
        <v>3</v>
      </c>
      <c r="K4">
        <f>AVERAGE(Table1[[#This Row],[Discount]])</f>
        <v>0.2</v>
      </c>
    </row>
    <row r="5" spans="1:11" x14ac:dyDescent="0.35">
      <c r="A5">
        <v>4</v>
      </c>
      <c r="B5" t="s">
        <v>10</v>
      </c>
      <c r="C5" t="s">
        <v>12</v>
      </c>
      <c r="D5">
        <v>1500</v>
      </c>
      <c r="E5">
        <v>1</v>
      </c>
      <c r="F5">
        <v>0.1</v>
      </c>
      <c r="G5" s="2">
        <v>45300</v>
      </c>
      <c r="H5">
        <f>Table1[[#This Row],[Sales]]*(1-Table1[[#This Row],[Discount]])</f>
        <v>1350</v>
      </c>
      <c r="I5">
        <f>SUM(Table1[[#This Row],[Sales]])</f>
        <v>1500</v>
      </c>
      <c r="J5">
        <f>SUM(Table1[[#This Row],[Quantity]])</f>
        <v>1</v>
      </c>
      <c r="K5">
        <f>AVERAGE(Table1[[#This Row],[Discount]])</f>
        <v>0.1</v>
      </c>
    </row>
    <row r="6" spans="1:11" x14ac:dyDescent="0.35">
      <c r="A6">
        <v>5</v>
      </c>
      <c r="B6" t="s">
        <v>8</v>
      </c>
      <c r="C6" t="s">
        <v>13</v>
      </c>
      <c r="D6">
        <v>400</v>
      </c>
      <c r="E6">
        <v>2</v>
      </c>
      <c r="F6">
        <v>0.25</v>
      </c>
      <c r="G6" s="2">
        <v>45302</v>
      </c>
      <c r="H6">
        <f>Table1[[#This Row],[Sales]]*(1-Table1[[#This Row],[Discount]])</f>
        <v>300</v>
      </c>
      <c r="I6">
        <f>SUM(Table1[[#This Row],[Sales]])</f>
        <v>400</v>
      </c>
      <c r="J6">
        <f>SUM(Table1[[#This Row],[Quantity]])</f>
        <v>2</v>
      </c>
      <c r="K6">
        <f>AVERAGE(Table1[[#This Row],[Discount]])</f>
        <v>0.25</v>
      </c>
    </row>
    <row r="7" spans="1:11" x14ac:dyDescent="0.35">
      <c r="A7">
        <v>6</v>
      </c>
      <c r="B7" t="s">
        <v>7</v>
      </c>
      <c r="C7" t="s">
        <v>12</v>
      </c>
      <c r="D7">
        <v>1300</v>
      </c>
      <c r="E7">
        <v>1</v>
      </c>
      <c r="F7">
        <v>0.05</v>
      </c>
      <c r="G7" s="2">
        <v>45304</v>
      </c>
      <c r="H7">
        <f>Table1[[#This Row],[Sales]]*(1-Table1[[#This Row],[Discount]])</f>
        <v>1235</v>
      </c>
      <c r="I7">
        <f>SUM(Table1[[#This Row],[Sales]])</f>
        <v>1300</v>
      </c>
      <c r="J7">
        <f>SUM(Table1[[#This Row],[Quantity]])</f>
        <v>1</v>
      </c>
      <c r="K7">
        <f>AVERAGE(Table1[[#This Row],[Discount]])</f>
        <v>0.05</v>
      </c>
    </row>
    <row r="8" spans="1:11" x14ac:dyDescent="0.35">
      <c r="A8">
        <v>7</v>
      </c>
      <c r="B8" t="s">
        <v>9</v>
      </c>
      <c r="C8" t="s">
        <v>13</v>
      </c>
      <c r="D8">
        <v>350</v>
      </c>
      <c r="E8">
        <v>2</v>
      </c>
      <c r="F8">
        <v>0.2</v>
      </c>
      <c r="G8" s="2">
        <v>45306</v>
      </c>
      <c r="H8">
        <f>Table1[[#This Row],[Sales]]*(1-Table1[[#This Row],[Discount]])</f>
        <v>280</v>
      </c>
      <c r="I8">
        <f>SUM(Table1[[#This Row],[Sales]])</f>
        <v>350</v>
      </c>
      <c r="J8">
        <f>SUM(Table1[[#This Row],[Quantity]])</f>
        <v>2</v>
      </c>
      <c r="K8">
        <f>AVERAGE(Table1[[#This Row],[Discount]])</f>
        <v>0.2</v>
      </c>
    </row>
    <row r="9" spans="1:11" x14ac:dyDescent="0.35">
      <c r="A9">
        <v>8</v>
      </c>
      <c r="B9" t="s">
        <v>10</v>
      </c>
      <c r="C9" t="s">
        <v>11</v>
      </c>
      <c r="D9">
        <v>600</v>
      </c>
      <c r="E9">
        <v>3</v>
      </c>
      <c r="F9">
        <v>0.1</v>
      </c>
      <c r="G9" s="2">
        <v>45308</v>
      </c>
      <c r="H9">
        <f>Table1[[#This Row],[Sales]]*(1-Table1[[#This Row],[Discount]])</f>
        <v>540</v>
      </c>
      <c r="I9">
        <f>SUM(Table1[[#This Row],[Sales]])</f>
        <v>600</v>
      </c>
      <c r="J9">
        <f>SUM(Table1[[#This Row],[Quantity]])</f>
        <v>3</v>
      </c>
      <c r="K9">
        <f>AVERAGE(Table1[[#This Row],[Discount]])</f>
        <v>0.1</v>
      </c>
    </row>
    <row r="10" spans="1:11" x14ac:dyDescent="0.35">
      <c r="A10">
        <v>9</v>
      </c>
      <c r="B10" t="s">
        <v>8</v>
      </c>
      <c r="C10" t="s">
        <v>11</v>
      </c>
      <c r="D10">
        <v>550</v>
      </c>
      <c r="E10">
        <v>2</v>
      </c>
      <c r="F10">
        <v>0.15</v>
      </c>
      <c r="G10" s="2">
        <v>45310</v>
      </c>
      <c r="H10">
        <f>Table1[[#This Row],[Sales]]*(1-Table1[[#This Row],[Discount]])</f>
        <v>467.5</v>
      </c>
      <c r="I10">
        <f>SUM(Table1[[#This Row],[Sales]])</f>
        <v>550</v>
      </c>
      <c r="J10">
        <f>SUM(Table1[[#This Row],[Quantity]])</f>
        <v>2</v>
      </c>
      <c r="K10">
        <f>AVERAGE(Table1[[#This Row],[Discount]])</f>
        <v>0.15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 Bhanushali</dc:creator>
  <cp:lastModifiedBy>Unnati Bhanushali</cp:lastModifiedBy>
  <dcterms:created xsi:type="dcterms:W3CDTF">2026-04-02T07:41:27Z</dcterms:created>
  <dcterms:modified xsi:type="dcterms:W3CDTF">2026-05-05T16:39:04Z</dcterms:modified>
</cp:coreProperties>
</file>